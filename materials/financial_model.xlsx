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eployment Plan" sheetId="3" state="visible" r:id="rId3"/>
    <sheet xmlns:r="http://schemas.openxmlformats.org/officeDocument/2006/relationships" name="Monthly P&amp;L" sheetId="4" state="visible" r:id="rId4"/>
    <sheet xmlns:r="http://schemas.openxmlformats.org/officeDocument/2006/relationships" name="Unit Economics" sheetId="5" state="visible" r:id="rId5"/>
    <sheet xmlns:r="http://schemas.openxmlformats.org/officeDocument/2006/relationships" name="Market Sizing" sheetId="6" state="visible" r:id="rId6"/>
    <sheet xmlns:r="http://schemas.openxmlformats.org/officeDocument/2006/relationships" name="Annual Outlook" sheetId="7" state="visible" r:id="rId7"/>
    <sheet xmlns:r="http://schemas.openxmlformats.org/officeDocument/2006/relationships" name="Mileston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C$&quot;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Outlook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'Annual Outlook'!$B$1:$D$1</f>
            </numRef>
          </cat>
          <val>
            <numRef>
              <f>'Annual Outlook'!$B$9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numRef>
              <f>'Annual Outlook'!$B$1:$D$1</f>
            </numRef>
          </cat>
          <val>
            <numRef>
              <f>'Annual Outlook'!$C$9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cat>
            <numRef>
              <f>'Annual Outlook'!$B$1:$D$1</f>
            </numRef>
          </cat>
          <val>
            <numRef>
              <f>'Annual Outlook'!$D$9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Active User Growth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Outlook'!$B$1:$D$1</f>
            </numRef>
          </cat>
          <val>
            <numRef>
              <f>'Annual Outlook'!$B$4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Outlook'!$B$1:$D$1</f>
            </numRef>
          </cat>
          <val>
            <numRef>
              <f>'Annual Outlook'!$C$4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'Annual Outlook'!$B$1:$D$1</f>
            </numRef>
          </cat>
          <val>
            <numRef>
              <f>'Annual Outlook'!$D$4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16</row>
      <rowOff>0</rowOff>
    </from>
    <ext cx="3600000" cy="21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2" customWidth="1" min="3" max="3"/>
    <col width="32" customWidth="1" min="4" max="4"/>
    <col width="32" customWidth="1" min="5" max="5"/>
  </cols>
  <sheetData>
    <row r="1">
      <c r="A1" s="1" t="inlineStr">
        <is>
          <t>SiteSentry Financial Dashboard</t>
        </is>
      </c>
    </row>
    <row r="2"/>
    <row r="3">
      <c r="A3" s="2" t="inlineStr">
        <is>
          <t>Market</t>
        </is>
      </c>
      <c r="D3" s="2" t="inlineStr">
        <is>
          <t>Beachhead</t>
        </is>
      </c>
    </row>
    <row r="4">
      <c r="A4" t="inlineStr">
        <is>
          <t>Global smart PPE market</t>
        </is>
      </c>
      <c r="B4">
        <f>'Market Sizing'!B13&amp;"M"</f>
        <v/>
      </c>
      <c r="D4" t="inlineStr">
        <is>
          <t>Beachhead end users</t>
        </is>
      </c>
      <c r="E4" s="3">
        <f>'Market Sizing'!B5</f>
        <v/>
      </c>
    </row>
    <row r="5">
      <c r="A5" t="inlineStr">
        <is>
          <t>Smart PPE CAGR</t>
        </is>
      </c>
      <c r="B5" s="4">
        <f>'Market Sizing'!B15</f>
        <v/>
      </c>
      <c r="D5" t="inlineStr">
        <is>
          <t>100% beachhead software ARR</t>
        </is>
      </c>
      <c r="E5" s="3">
        <f>'Market Sizing'!B6</f>
        <v/>
      </c>
    </row>
    <row r="6">
      <c r="A6" t="inlineStr">
        <is>
          <t>Global smart helmet market</t>
        </is>
      </c>
      <c r="B6">
        <f>'Market Sizing'!B16&amp;"M"</f>
        <v/>
      </c>
      <c r="D6" t="inlineStr">
        <is>
          <t>Year 3 SOM active users</t>
        </is>
      </c>
      <c r="E6">
        <f>'Market Sizing'!B11</f>
        <v/>
      </c>
    </row>
    <row r="7">
      <c r="A7" t="inlineStr">
        <is>
          <t>Smart helmet CAGR</t>
        </is>
      </c>
      <c r="B7" s="4">
        <f>'Market Sizing'!B18</f>
        <v/>
      </c>
      <c r="D7" t="inlineStr">
        <is>
          <t>Year 3 ARR</t>
        </is>
      </c>
      <c r="E7" s="3">
        <f>'Annual Outlook'!D16</f>
        <v/>
      </c>
    </row>
    <row r="8"/>
    <row r="9"/>
    <row r="10">
      <c r="A10" s="2" t="inlineStr">
        <is>
          <t>Year 1</t>
        </is>
      </c>
      <c r="D10" s="2" t="inlineStr">
        <is>
          <t>3-Year Outlook</t>
        </is>
      </c>
    </row>
    <row r="11">
      <c r="A11" t="inlineStr">
        <is>
          <t>Year 1 revenue</t>
        </is>
      </c>
      <c r="B11" s="3">
        <f>'Annual Outlook'!B9</f>
        <v/>
      </c>
      <c r="D11" t="inlineStr">
        <is>
          <t>Year 2 revenue</t>
        </is>
      </c>
      <c r="E11" s="3">
        <f>'Annual Outlook'!C9</f>
        <v/>
      </c>
    </row>
    <row r="12">
      <c r="A12" t="inlineStr">
        <is>
          <t>Year 1 gross margin</t>
        </is>
      </c>
      <c r="B12" s="4">
        <f>'Annual Outlook'!B12</f>
        <v/>
      </c>
      <c r="D12" t="inlineStr">
        <is>
          <t>Year 2 revenue growth</t>
        </is>
      </c>
      <c r="E12" s="4">
        <f>'Annual Outlook'!C15</f>
        <v/>
      </c>
    </row>
    <row r="13">
      <c r="A13" t="inlineStr">
        <is>
          <t>Year-end ARR</t>
        </is>
      </c>
      <c r="B13" s="3">
        <f>'Annual Outlook'!B16</f>
        <v/>
      </c>
      <c r="D13" t="inlineStr">
        <is>
          <t>Year 3 revenue</t>
        </is>
      </c>
      <c r="E13" s="3">
        <f>'Annual Outlook'!D9</f>
        <v/>
      </c>
    </row>
    <row r="14">
      <c r="A14" t="inlineStr">
        <is>
          <t>Net cash impact</t>
        </is>
      </c>
      <c r="B14" s="3">
        <f>'Monthly P&amp;L'!N18</f>
        <v/>
      </c>
      <c r="D14" t="inlineStr">
        <is>
          <t>Year 3 gross margin</t>
        </is>
      </c>
      <c r="E14" s="4">
        <f>'Annual Outlook'!D12</f>
        <v/>
      </c>
    </row>
    <row r="15">
      <c r="E15" s="3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5" t="inlineStr">
        <is>
          <t>Category</t>
        </is>
      </c>
      <c r="B1" s="5" t="inlineStr">
        <is>
          <t>Variable</t>
        </is>
      </c>
      <c r="C1" s="5" t="inlineStr">
        <is>
          <t>Value</t>
        </is>
      </c>
      <c r="D1" s="5" t="inlineStr">
        <is>
          <t>Notes</t>
        </is>
      </c>
    </row>
    <row r="2">
      <c r="A2" t="inlineStr">
        <is>
          <t>Pricing</t>
        </is>
      </c>
      <c r="B2" t="inlineStr">
        <is>
          <t>Hardware price per unit</t>
        </is>
      </c>
      <c r="C2" t="n">
        <v>1800</v>
      </c>
      <c r="D2" t="inlineStr">
        <is>
          <t>Pilot-stage sale price in CAD</t>
        </is>
      </c>
    </row>
    <row r="3">
      <c r="A3" t="inlineStr">
        <is>
          <t>Pricing</t>
        </is>
      </c>
      <c r="B3" t="inlineStr">
        <is>
          <t>Monthly software fee per active user</t>
        </is>
      </c>
      <c r="C3" t="n">
        <v>85</v>
      </c>
      <c r="D3" t="inlineStr">
        <is>
          <t>Per-user SaaS fee</t>
        </is>
      </c>
    </row>
    <row r="4">
      <c r="A4" t="inlineStr">
        <is>
          <t>Pricing</t>
        </is>
      </c>
      <c r="B4" t="inlineStr">
        <is>
          <t>Onboarding fee per new customer</t>
        </is>
      </c>
      <c r="C4" t="n">
        <v>7500</v>
      </c>
      <c r="D4" t="inlineStr">
        <is>
          <t>Setup and training</t>
        </is>
      </c>
    </row>
    <row r="5">
      <c r="A5" t="inlineStr">
        <is>
          <t>COGS</t>
        </is>
      </c>
      <c r="B5" t="inlineStr">
        <is>
          <t>Hardware COGS per unit</t>
        </is>
      </c>
      <c r="C5" t="n">
        <v>1050</v>
      </c>
      <c r="D5" t="inlineStr">
        <is>
          <t>Electronics, assembly, shipping</t>
        </is>
      </c>
    </row>
    <row r="6">
      <c r="A6" t="inlineStr">
        <is>
          <t>COGS</t>
        </is>
      </c>
      <c r="B6" t="inlineStr">
        <is>
          <t>Cloud cost per active user per month</t>
        </is>
      </c>
      <c r="C6" t="n">
        <v>12</v>
      </c>
      <c r="D6" t="inlineStr">
        <is>
          <t>Inference, storage, compute</t>
        </is>
      </c>
    </row>
    <row r="7">
      <c r="A7" t="inlineStr">
        <is>
          <t>COGS</t>
        </is>
      </c>
      <c r="B7" t="inlineStr">
        <is>
          <t>Support cost per active user per month</t>
        </is>
      </c>
      <c r="C7" t="n">
        <v>8</v>
      </c>
      <c r="D7" t="inlineStr">
        <is>
          <t>Customer support and success</t>
        </is>
      </c>
    </row>
    <row r="8">
      <c r="A8" t="inlineStr">
        <is>
          <t>OPEX</t>
        </is>
      </c>
      <c r="B8" t="inlineStr">
        <is>
          <t>Engineering payroll per month</t>
        </is>
      </c>
      <c r="C8" t="n">
        <v>18000</v>
      </c>
      <c r="D8" t="inlineStr">
        <is>
          <t>ML plus embedded/product contractor mix</t>
        </is>
      </c>
    </row>
    <row r="9">
      <c r="A9" t="inlineStr">
        <is>
          <t>OPEX</t>
        </is>
      </c>
      <c r="B9" t="inlineStr">
        <is>
          <t>Sales and business development per month</t>
        </is>
      </c>
      <c r="C9" t="n">
        <v>7000</v>
      </c>
      <c r="D9" t="inlineStr">
        <is>
          <t>Founder sales plus travel</t>
        </is>
      </c>
    </row>
    <row r="10">
      <c r="A10" t="inlineStr">
        <is>
          <t>OPEX</t>
        </is>
      </c>
      <c r="B10" t="inlineStr">
        <is>
          <t>Software/tools/admin per month</t>
        </is>
      </c>
      <c r="C10" t="n">
        <v>2500</v>
      </c>
      <c r="D10" t="inlineStr">
        <is>
          <t>SaaS, insurance, legal, admin</t>
        </is>
      </c>
    </row>
    <row r="11">
      <c r="A11" t="inlineStr">
        <is>
          <t>OPEX</t>
        </is>
      </c>
      <c r="B11" t="inlineStr">
        <is>
          <t>Marketing/events per month</t>
        </is>
      </c>
      <c r="C11" t="n">
        <v>1500</v>
      </c>
      <c r="D11" t="inlineStr">
        <is>
          <t>Industry events and outreach</t>
        </is>
      </c>
    </row>
    <row r="12">
      <c r="A12" t="inlineStr">
        <is>
          <t>CAPEX</t>
        </is>
      </c>
      <c r="B12" t="inlineStr">
        <is>
          <t>Prototype and test equipment</t>
        </is>
      </c>
      <c r="C12" t="n">
        <v>45000</v>
      </c>
      <c r="D12" t="inlineStr">
        <is>
          <t>Spread across the first 4 months</t>
        </is>
      </c>
    </row>
    <row r="13">
      <c r="A13" t="inlineStr">
        <is>
          <t>Market</t>
        </is>
      </c>
      <c r="B13" t="inlineStr">
        <is>
          <t>Global smart PPE market size, 2025 (USD M)</t>
        </is>
      </c>
      <c r="C13" t="n">
        <v>3300</v>
      </c>
      <c r="D13" t="inlineStr">
        <is>
          <t>From team status report market citation</t>
        </is>
      </c>
    </row>
    <row r="14">
      <c r="A14" t="inlineStr">
        <is>
          <t>Market</t>
        </is>
      </c>
      <c r="B14" t="inlineStr">
        <is>
          <t>Global smart PPE market size, 2033 (USD M)</t>
        </is>
      </c>
      <c r="C14" t="n">
        <v>9800</v>
      </c>
      <c r="D14" t="inlineStr">
        <is>
          <t>From team status report market citation</t>
        </is>
      </c>
    </row>
    <row r="15">
      <c r="A15" t="inlineStr">
        <is>
          <t>Market</t>
        </is>
      </c>
      <c r="B15" t="inlineStr">
        <is>
          <t>Global smart helmet market size, 2024 (USD M)</t>
        </is>
      </c>
      <c r="C15" t="n">
        <v>892</v>
      </c>
      <c r="D15" t="inlineStr">
        <is>
          <t>From team status report market citation</t>
        </is>
      </c>
    </row>
    <row r="16">
      <c r="A16" t="inlineStr">
        <is>
          <t>Market</t>
        </is>
      </c>
      <c r="B16" t="inlineStr">
        <is>
          <t>Global smart helmet market size, 2030 (USD M)</t>
        </is>
      </c>
      <c r="C16" t="n">
        <v>2300</v>
      </c>
      <c r="D16" t="inlineStr">
        <is>
          <t>From team status report market citation</t>
        </is>
      </c>
    </row>
    <row r="17">
      <c r="A17" t="inlineStr">
        <is>
          <t>Market</t>
        </is>
      </c>
      <c r="B17" t="inlineStr">
        <is>
          <t>Target organizations in beachhead</t>
        </is>
      </c>
      <c r="C17" t="n">
        <v>120</v>
      </c>
      <c r="D17" t="inlineStr">
        <is>
          <t>Planning assumption to be validated</t>
        </is>
      </c>
    </row>
    <row r="18">
      <c r="A18" t="inlineStr">
        <is>
          <t>Market</t>
        </is>
      </c>
      <c r="B18" t="inlineStr">
        <is>
          <t>Average qualifying workers per organization</t>
        </is>
      </c>
      <c r="C18" t="n">
        <v>200</v>
      </c>
      <c r="D18" t="inlineStr">
        <is>
          <t>Workers in dynamic high-risk environments</t>
        </is>
      </c>
    </row>
    <row r="19">
      <c r="A19" t="inlineStr">
        <is>
          <t>Growth</t>
        </is>
      </c>
      <c r="B19" t="inlineStr">
        <is>
          <t>Illustrative Year 2 beachhead penetration</t>
        </is>
      </c>
      <c r="C19" t="n">
        <v>0.03</v>
      </c>
      <c r="D19" t="inlineStr">
        <is>
          <t>Base-case SOM assumption</t>
        </is>
      </c>
    </row>
    <row r="20">
      <c r="A20" t="inlineStr">
        <is>
          <t>Growth</t>
        </is>
      </c>
      <c r="B20" t="inlineStr">
        <is>
          <t>Illustrative Year 3 beachhead penetration</t>
        </is>
      </c>
      <c r="C20" t="n">
        <v>0.07000000000000001</v>
      </c>
      <c r="D20" t="inlineStr">
        <is>
          <t>Base-case SOM assumption</t>
        </is>
      </c>
    </row>
    <row r="21">
      <c r="A21" t="inlineStr">
        <is>
          <t>Growth</t>
        </is>
      </c>
      <c r="B21" t="inlineStr">
        <is>
          <t>Year 2 new customers</t>
        </is>
      </c>
      <c r="C21" t="n">
        <v>6</v>
      </c>
      <c r="D21" t="inlineStr">
        <is>
          <t>Base-case commercialization ramp</t>
        </is>
      </c>
    </row>
    <row r="22">
      <c r="A22" t="inlineStr">
        <is>
          <t>Growth</t>
        </is>
      </c>
      <c r="B22" t="inlineStr">
        <is>
          <t>Year 3 new customers</t>
        </is>
      </c>
      <c r="C22" t="n">
        <v>10</v>
      </c>
      <c r="D22" t="inlineStr">
        <is>
          <t>Base-case commercialization ramp</t>
        </is>
      </c>
    </row>
    <row r="23">
      <c r="A23" t="inlineStr">
        <is>
          <t>Growth</t>
        </is>
      </c>
      <c r="B23" t="inlineStr">
        <is>
          <t>Year 2 OPEX growth</t>
        </is>
      </c>
      <c r="C23" t="n">
        <v>0.25</v>
      </c>
      <c r="D23" t="inlineStr">
        <is>
          <t>Hiring and go-to-market expansion</t>
        </is>
      </c>
    </row>
    <row r="24">
      <c r="A24" t="inlineStr">
        <is>
          <t>Growth</t>
        </is>
      </c>
      <c r="B24" t="inlineStr">
        <is>
          <t>Year 3 OPEX growth</t>
        </is>
      </c>
      <c r="C24" t="n">
        <v>0.2</v>
      </c>
      <c r="D24" t="inlineStr">
        <is>
          <t>Scaling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</cols>
  <sheetData>
    <row r="1">
      <c r="A1" s="5" t="inlineStr">
        <is>
          <t>Metric</t>
        </is>
      </c>
      <c r="B1" s="5" t="inlineStr">
        <is>
          <t>M1</t>
        </is>
      </c>
      <c r="C1" s="5" t="inlineStr">
        <is>
          <t>M2</t>
        </is>
      </c>
      <c r="D1" s="5" t="inlineStr">
        <is>
          <t>M3</t>
        </is>
      </c>
      <c r="E1" s="5" t="inlineStr">
        <is>
          <t>M4</t>
        </is>
      </c>
      <c r="F1" s="5" t="inlineStr">
        <is>
          <t>M5</t>
        </is>
      </c>
      <c r="G1" s="5" t="inlineStr">
        <is>
          <t>M6</t>
        </is>
      </c>
      <c r="H1" s="5" t="inlineStr">
        <is>
          <t>M7</t>
        </is>
      </c>
      <c r="I1" s="5" t="inlineStr">
        <is>
          <t>M8</t>
        </is>
      </c>
      <c r="J1" s="5" t="inlineStr">
        <is>
          <t>M9</t>
        </is>
      </c>
      <c r="K1" s="5" t="inlineStr">
        <is>
          <t>M10</t>
        </is>
      </c>
      <c r="L1" s="5" t="inlineStr">
        <is>
          <t>M11</t>
        </is>
      </c>
      <c r="M1" s="5" t="inlineStr">
        <is>
          <t>M12</t>
        </is>
      </c>
      <c r="N1" s="5" t="inlineStr">
        <is>
          <t>Year 1 Total</t>
        </is>
      </c>
    </row>
    <row r="2">
      <c r="A2" t="inlineStr">
        <is>
          <t>New customers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>
        <f>SUM(B2:M2)</f>
        <v/>
      </c>
    </row>
    <row r="3">
      <c r="A3" t="inlineStr">
        <is>
          <t>New hardware units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</v>
      </c>
      <c r="H3" t="n">
        <v>0</v>
      </c>
      <c r="I3" t="n">
        <v>30</v>
      </c>
      <c r="J3" t="n">
        <v>0</v>
      </c>
      <c r="K3" t="n">
        <v>40</v>
      </c>
      <c r="L3" t="n">
        <v>0</v>
      </c>
      <c r="M3" t="n">
        <v>60</v>
      </c>
      <c r="N3">
        <f>SUM(B3:M3)</f>
        <v/>
      </c>
    </row>
    <row r="4">
      <c r="A4" t="inlineStr">
        <is>
          <t>Active users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</v>
      </c>
      <c r="H4" t="n">
        <v>20</v>
      </c>
      <c r="I4" t="n">
        <v>50</v>
      </c>
      <c r="J4" t="n">
        <v>50</v>
      </c>
      <c r="K4" t="n">
        <v>90</v>
      </c>
      <c r="L4" t="n">
        <v>90</v>
      </c>
      <c r="M4" t="n">
        <v>150</v>
      </c>
      <c r="N4">
        <f>SUM(B4:M4)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  <col width="32" customWidth="1" min="6" max="6"/>
    <col width="32" customWidth="1" min="7" max="7"/>
    <col width="32" customWidth="1" min="8" max="8"/>
    <col width="32" customWidth="1" min="9" max="9"/>
    <col width="32" customWidth="1" min="10" max="10"/>
    <col width="32" customWidth="1" min="11" max="11"/>
    <col width="32" customWidth="1" min="12" max="12"/>
    <col width="32" customWidth="1" min="13" max="13"/>
    <col width="32" customWidth="1" min="14" max="14"/>
  </cols>
  <sheetData>
    <row r="1">
      <c r="A1" s="5" t="inlineStr">
        <is>
          <t>Line Item</t>
        </is>
      </c>
      <c r="B1" s="5" t="inlineStr">
        <is>
          <t>M1</t>
        </is>
      </c>
      <c r="C1" s="5" t="inlineStr">
        <is>
          <t>M2</t>
        </is>
      </c>
      <c r="D1" s="5" t="inlineStr">
        <is>
          <t>M3</t>
        </is>
      </c>
      <c r="E1" s="5" t="inlineStr">
        <is>
          <t>M4</t>
        </is>
      </c>
      <c r="F1" s="5" t="inlineStr">
        <is>
          <t>M5</t>
        </is>
      </c>
      <c r="G1" s="5" t="inlineStr">
        <is>
          <t>M6</t>
        </is>
      </c>
      <c r="H1" s="5" t="inlineStr">
        <is>
          <t>M7</t>
        </is>
      </c>
      <c r="I1" s="5" t="inlineStr">
        <is>
          <t>M8</t>
        </is>
      </c>
      <c r="J1" s="5" t="inlineStr">
        <is>
          <t>M9</t>
        </is>
      </c>
      <c r="K1" s="5" t="inlineStr">
        <is>
          <t>M10</t>
        </is>
      </c>
      <c r="L1" s="5" t="inlineStr">
        <is>
          <t>M11</t>
        </is>
      </c>
      <c r="M1" s="5" t="inlineStr">
        <is>
          <t>M12</t>
        </is>
      </c>
      <c r="N1" s="5" t="inlineStr">
        <is>
          <t>Year 1 Total</t>
        </is>
      </c>
    </row>
    <row r="2">
      <c r="A2" t="inlineStr">
        <is>
          <t>Hardware revenue</t>
        </is>
      </c>
      <c r="B2" s="3">
        <f>'Deployment Plan'!B3*'Assumptions'!C2</f>
        <v/>
      </c>
      <c r="C2" s="3">
        <f>'Deployment Plan'!C3*'Assumptions'!C2</f>
        <v/>
      </c>
      <c r="D2" s="3">
        <f>'Deployment Plan'!D3*'Assumptions'!C2</f>
        <v/>
      </c>
      <c r="E2" s="3">
        <f>'Deployment Plan'!E3*'Assumptions'!C2</f>
        <v/>
      </c>
      <c r="F2" s="3">
        <f>'Deployment Plan'!F3*'Assumptions'!C2</f>
        <v/>
      </c>
      <c r="G2" s="3">
        <f>'Deployment Plan'!G3*'Assumptions'!C2</f>
        <v/>
      </c>
      <c r="H2" s="3">
        <f>'Deployment Plan'!H3*'Assumptions'!C2</f>
        <v/>
      </c>
      <c r="I2" s="3">
        <f>'Deployment Plan'!I3*'Assumptions'!C2</f>
        <v/>
      </c>
      <c r="J2" s="3">
        <f>'Deployment Plan'!J3*'Assumptions'!C2</f>
        <v/>
      </c>
      <c r="K2" s="3">
        <f>'Deployment Plan'!K3*'Assumptions'!C2</f>
        <v/>
      </c>
      <c r="L2" s="3">
        <f>'Deployment Plan'!L3*'Assumptions'!C2</f>
        <v/>
      </c>
      <c r="M2" s="3">
        <f>'Deployment Plan'!M3*'Assumptions'!C2</f>
        <v/>
      </c>
      <c r="N2" s="3">
        <f>SUM(B2:M2)</f>
        <v/>
      </c>
    </row>
    <row r="3">
      <c r="A3" t="inlineStr">
        <is>
          <t>Software revenue</t>
        </is>
      </c>
      <c r="B3" s="3">
        <f>'Deployment Plan'!B4*'Assumptions'!C3</f>
        <v/>
      </c>
      <c r="C3" s="3">
        <f>'Deployment Plan'!C4*'Assumptions'!C3</f>
        <v/>
      </c>
      <c r="D3" s="3">
        <f>'Deployment Plan'!D4*'Assumptions'!C3</f>
        <v/>
      </c>
      <c r="E3" s="3">
        <f>'Deployment Plan'!E4*'Assumptions'!C3</f>
        <v/>
      </c>
      <c r="F3" s="3">
        <f>'Deployment Plan'!F4*'Assumptions'!C3</f>
        <v/>
      </c>
      <c r="G3" s="3">
        <f>'Deployment Plan'!G4*'Assumptions'!C3</f>
        <v/>
      </c>
      <c r="H3" s="3">
        <f>'Deployment Plan'!H4*'Assumptions'!C3</f>
        <v/>
      </c>
      <c r="I3" s="3">
        <f>'Deployment Plan'!I4*'Assumptions'!C3</f>
        <v/>
      </c>
      <c r="J3" s="3">
        <f>'Deployment Plan'!J4*'Assumptions'!C3</f>
        <v/>
      </c>
      <c r="K3" s="3">
        <f>'Deployment Plan'!K4*'Assumptions'!C3</f>
        <v/>
      </c>
      <c r="L3" s="3">
        <f>'Deployment Plan'!L4*'Assumptions'!C3</f>
        <v/>
      </c>
      <c r="M3" s="3">
        <f>'Deployment Plan'!M4*'Assumptions'!C3</f>
        <v/>
      </c>
      <c r="N3" s="3">
        <f>SUM(B3:M3)</f>
        <v/>
      </c>
    </row>
    <row r="4">
      <c r="A4" t="inlineStr">
        <is>
          <t>Onboarding revenue</t>
        </is>
      </c>
      <c r="B4" s="3">
        <f>'Deployment Plan'!B2*'Assumptions'!C4</f>
        <v/>
      </c>
      <c r="C4" s="3">
        <f>'Deployment Plan'!C2*'Assumptions'!C4</f>
        <v/>
      </c>
      <c r="D4" s="3">
        <f>'Deployment Plan'!D2*'Assumptions'!C4</f>
        <v/>
      </c>
      <c r="E4" s="3">
        <f>'Deployment Plan'!E2*'Assumptions'!C4</f>
        <v/>
      </c>
      <c r="F4" s="3">
        <f>'Deployment Plan'!F2*'Assumptions'!C4</f>
        <v/>
      </c>
      <c r="G4" s="3">
        <f>'Deployment Plan'!G2*'Assumptions'!C4</f>
        <v/>
      </c>
      <c r="H4" s="3">
        <f>'Deployment Plan'!H2*'Assumptions'!C4</f>
        <v/>
      </c>
      <c r="I4" s="3">
        <f>'Deployment Plan'!I2*'Assumptions'!C4</f>
        <v/>
      </c>
      <c r="J4" s="3">
        <f>'Deployment Plan'!J2*'Assumptions'!C4</f>
        <v/>
      </c>
      <c r="K4" s="3">
        <f>'Deployment Plan'!K2*'Assumptions'!C4</f>
        <v/>
      </c>
      <c r="L4" s="3">
        <f>'Deployment Plan'!L2*'Assumptions'!C4</f>
        <v/>
      </c>
      <c r="M4" s="3">
        <f>'Deployment Plan'!M2*'Assumptions'!C4</f>
        <v/>
      </c>
      <c r="N4" s="3">
        <f>SUM(B4:M4)</f>
        <v/>
      </c>
    </row>
    <row r="5">
      <c r="A5" t="inlineStr">
        <is>
          <t>Total revenue</t>
        </is>
      </c>
      <c r="B5" s="3">
        <f>SUM(B2:B4)</f>
        <v/>
      </c>
      <c r="C5" s="3">
        <f>SUM(C2:C4)</f>
        <v/>
      </c>
      <c r="D5" s="3">
        <f>SUM(D2:D4)</f>
        <v/>
      </c>
      <c r="E5" s="3">
        <f>SUM(E2:E4)</f>
        <v/>
      </c>
      <c r="F5" s="3">
        <f>SUM(F2:F4)</f>
        <v/>
      </c>
      <c r="G5" s="3">
        <f>SUM(G2:G4)</f>
        <v/>
      </c>
      <c r="H5" s="3">
        <f>SUM(H2:H4)</f>
        <v/>
      </c>
      <c r="I5" s="3">
        <f>SUM(I2:I4)</f>
        <v/>
      </c>
      <c r="J5" s="3">
        <f>SUM(J2:J4)</f>
        <v/>
      </c>
      <c r="K5" s="3">
        <f>SUM(K2:K4)</f>
        <v/>
      </c>
      <c r="L5" s="3">
        <f>SUM(L2:L4)</f>
        <v/>
      </c>
      <c r="M5" s="3">
        <f>SUM(M2:M4)</f>
        <v/>
      </c>
      <c r="N5" s="3">
        <f>SUM(B5:M5)</f>
        <v/>
      </c>
    </row>
    <row r="6">
      <c r="A6" t="inlineStr">
        <is>
          <t>Hardware COGS</t>
        </is>
      </c>
      <c r="B6" s="3">
        <f>'Deployment Plan'!B3*'Assumptions'!C5</f>
        <v/>
      </c>
      <c r="C6" s="3">
        <f>'Deployment Plan'!C3*'Assumptions'!C5</f>
        <v/>
      </c>
      <c r="D6" s="3">
        <f>'Deployment Plan'!D3*'Assumptions'!C5</f>
        <v/>
      </c>
      <c r="E6" s="3">
        <f>'Deployment Plan'!E3*'Assumptions'!C5</f>
        <v/>
      </c>
      <c r="F6" s="3">
        <f>'Deployment Plan'!F3*'Assumptions'!C5</f>
        <v/>
      </c>
      <c r="G6" s="3">
        <f>'Deployment Plan'!G3*'Assumptions'!C5</f>
        <v/>
      </c>
      <c r="H6" s="3">
        <f>'Deployment Plan'!H3*'Assumptions'!C5</f>
        <v/>
      </c>
      <c r="I6" s="3">
        <f>'Deployment Plan'!I3*'Assumptions'!C5</f>
        <v/>
      </c>
      <c r="J6" s="3">
        <f>'Deployment Plan'!J3*'Assumptions'!C5</f>
        <v/>
      </c>
      <c r="K6" s="3">
        <f>'Deployment Plan'!K3*'Assumptions'!C5</f>
        <v/>
      </c>
      <c r="L6" s="3">
        <f>'Deployment Plan'!L3*'Assumptions'!C5</f>
        <v/>
      </c>
      <c r="M6" s="3">
        <f>'Deployment Plan'!M3*'Assumptions'!C5</f>
        <v/>
      </c>
      <c r="N6" s="3">
        <f>SUM(B6:M6)</f>
        <v/>
      </c>
    </row>
    <row r="7">
      <c r="A7" t="inlineStr">
        <is>
          <t>Cloud cost</t>
        </is>
      </c>
      <c r="B7">
        <f>'Deployment Plan'!B4*'Assumptions'!C6</f>
        <v/>
      </c>
      <c r="C7">
        <f>'Deployment Plan'!C4*'Assumptions'!C6</f>
        <v/>
      </c>
      <c r="D7">
        <f>'Deployment Plan'!D4*'Assumptions'!C6</f>
        <v/>
      </c>
      <c r="E7">
        <f>'Deployment Plan'!E4*'Assumptions'!C6</f>
        <v/>
      </c>
      <c r="F7">
        <f>'Deployment Plan'!F4*'Assumptions'!C6</f>
        <v/>
      </c>
      <c r="G7">
        <f>'Deployment Plan'!G4*'Assumptions'!C6</f>
        <v/>
      </c>
      <c r="H7">
        <f>'Deployment Plan'!H4*'Assumptions'!C6</f>
        <v/>
      </c>
      <c r="I7">
        <f>'Deployment Plan'!I4*'Assumptions'!C6</f>
        <v/>
      </c>
      <c r="J7">
        <f>'Deployment Plan'!J4*'Assumptions'!C6</f>
        <v/>
      </c>
      <c r="K7">
        <f>'Deployment Plan'!K4*'Assumptions'!C6</f>
        <v/>
      </c>
      <c r="L7">
        <f>'Deployment Plan'!L4*'Assumptions'!C6</f>
        <v/>
      </c>
      <c r="M7">
        <f>'Deployment Plan'!M4*'Assumptions'!C6</f>
        <v/>
      </c>
      <c r="N7">
        <f>SUM(B7:M7)</f>
        <v/>
      </c>
    </row>
    <row r="8">
      <c r="A8" t="inlineStr">
        <is>
          <t>Support cost</t>
        </is>
      </c>
      <c r="B8">
        <f>'Deployment Plan'!B4*'Assumptions'!C7</f>
        <v/>
      </c>
      <c r="C8">
        <f>'Deployment Plan'!C4*'Assumptions'!C7</f>
        <v/>
      </c>
      <c r="D8">
        <f>'Deployment Plan'!D4*'Assumptions'!C7</f>
        <v/>
      </c>
      <c r="E8">
        <f>'Deployment Plan'!E4*'Assumptions'!C7</f>
        <v/>
      </c>
      <c r="F8">
        <f>'Deployment Plan'!F4*'Assumptions'!C7</f>
        <v/>
      </c>
      <c r="G8">
        <f>'Deployment Plan'!G4*'Assumptions'!C7</f>
        <v/>
      </c>
      <c r="H8">
        <f>'Deployment Plan'!H4*'Assumptions'!C7</f>
        <v/>
      </c>
      <c r="I8">
        <f>'Deployment Plan'!I4*'Assumptions'!C7</f>
        <v/>
      </c>
      <c r="J8">
        <f>'Deployment Plan'!J4*'Assumptions'!C7</f>
        <v/>
      </c>
      <c r="K8">
        <f>'Deployment Plan'!K4*'Assumptions'!C7</f>
        <v/>
      </c>
      <c r="L8">
        <f>'Deployment Plan'!L4*'Assumptions'!C7</f>
        <v/>
      </c>
      <c r="M8">
        <f>'Deployment Plan'!M4*'Assumptions'!C7</f>
        <v/>
      </c>
      <c r="N8">
        <f>SUM(B8:M8)</f>
        <v/>
      </c>
    </row>
    <row r="9">
      <c r="A9" t="inlineStr">
        <is>
          <t>Total COGS</t>
        </is>
      </c>
      <c r="B9" s="3">
        <f>SUM(B6:B8)</f>
        <v/>
      </c>
      <c r="C9" s="3">
        <f>SUM(C6:C8)</f>
        <v/>
      </c>
      <c r="D9" s="3">
        <f>SUM(D6:D8)</f>
        <v/>
      </c>
      <c r="E9" s="3">
        <f>SUM(E6:E8)</f>
        <v/>
      </c>
      <c r="F9" s="3">
        <f>SUM(F6:F8)</f>
        <v/>
      </c>
      <c r="G9" s="3">
        <f>SUM(G6:G8)</f>
        <v/>
      </c>
      <c r="H9" s="3">
        <f>SUM(H6:H8)</f>
        <v/>
      </c>
      <c r="I9" s="3">
        <f>SUM(I6:I8)</f>
        <v/>
      </c>
      <c r="J9" s="3">
        <f>SUM(J6:J8)</f>
        <v/>
      </c>
      <c r="K9" s="3">
        <f>SUM(K6:K8)</f>
        <v/>
      </c>
      <c r="L9" s="3">
        <f>SUM(L6:L8)</f>
        <v/>
      </c>
      <c r="M9" s="3">
        <f>SUM(M6:M8)</f>
        <v/>
      </c>
      <c r="N9" s="3">
        <f>SUM(B9:M9)</f>
        <v/>
      </c>
    </row>
    <row r="10">
      <c r="A10" t="inlineStr">
        <is>
          <t>Gross profit</t>
        </is>
      </c>
      <c r="B10" s="3">
        <f>B5-B9</f>
        <v/>
      </c>
      <c r="C10" s="3">
        <f>C5-C9</f>
        <v/>
      </c>
      <c r="D10" s="3">
        <f>D5-D9</f>
        <v/>
      </c>
      <c r="E10" s="3">
        <f>E5-E9</f>
        <v/>
      </c>
      <c r="F10" s="3">
        <f>F5-F9</f>
        <v/>
      </c>
      <c r="G10" s="3">
        <f>G5-G9</f>
        <v/>
      </c>
      <c r="H10" s="3">
        <f>H5-H9</f>
        <v/>
      </c>
      <c r="I10" s="3">
        <f>I5-I9</f>
        <v/>
      </c>
      <c r="J10" s="3">
        <f>J5-J9</f>
        <v/>
      </c>
      <c r="K10" s="3">
        <f>K5-K9</f>
        <v/>
      </c>
      <c r="L10" s="3">
        <f>L5-L9</f>
        <v/>
      </c>
      <c r="M10" s="3">
        <f>M5-M9</f>
        <v/>
      </c>
      <c r="N10" s="3">
        <f>SUM(B10:M10)</f>
        <v/>
      </c>
    </row>
    <row r="11">
      <c r="A11" t="inlineStr">
        <is>
          <t>Engineering payroll</t>
        </is>
      </c>
      <c r="B11">
        <f>'Assumptions'!C8</f>
        <v/>
      </c>
      <c r="C11">
        <f>'Assumptions'!C8</f>
        <v/>
      </c>
      <c r="D11">
        <f>'Assumptions'!C8</f>
        <v/>
      </c>
      <c r="E11">
        <f>'Assumptions'!C8</f>
        <v/>
      </c>
      <c r="F11">
        <f>'Assumptions'!C8</f>
        <v/>
      </c>
      <c r="G11">
        <f>'Assumptions'!C8</f>
        <v/>
      </c>
      <c r="H11">
        <f>'Assumptions'!C8</f>
        <v/>
      </c>
      <c r="I11">
        <f>'Assumptions'!C8</f>
        <v/>
      </c>
      <c r="J11">
        <f>'Assumptions'!C8</f>
        <v/>
      </c>
      <c r="K11">
        <f>'Assumptions'!C8</f>
        <v/>
      </c>
      <c r="L11">
        <f>'Assumptions'!C8</f>
        <v/>
      </c>
      <c r="M11">
        <f>'Assumptions'!C8</f>
        <v/>
      </c>
      <c r="N11">
        <f>SUM(B11:M11)</f>
        <v/>
      </c>
    </row>
    <row r="12">
      <c r="A12" t="inlineStr">
        <is>
          <t>Sales and business development</t>
        </is>
      </c>
      <c r="B12">
        <f>'Assumptions'!C9</f>
        <v/>
      </c>
      <c r="C12">
        <f>'Assumptions'!C9</f>
        <v/>
      </c>
      <c r="D12">
        <f>'Assumptions'!C9</f>
        <v/>
      </c>
      <c r="E12">
        <f>'Assumptions'!C9</f>
        <v/>
      </c>
      <c r="F12">
        <f>'Assumptions'!C9</f>
        <v/>
      </c>
      <c r="G12">
        <f>'Assumptions'!C9</f>
        <v/>
      </c>
      <c r="H12">
        <f>'Assumptions'!C9</f>
        <v/>
      </c>
      <c r="I12">
        <f>'Assumptions'!C9</f>
        <v/>
      </c>
      <c r="J12">
        <f>'Assumptions'!C9</f>
        <v/>
      </c>
      <c r="K12">
        <f>'Assumptions'!C9</f>
        <v/>
      </c>
      <c r="L12">
        <f>'Assumptions'!C9</f>
        <v/>
      </c>
      <c r="M12">
        <f>'Assumptions'!C9</f>
        <v/>
      </c>
      <c r="N12">
        <f>SUM(B12:M12)</f>
        <v/>
      </c>
    </row>
    <row r="13">
      <c r="A13" t="inlineStr">
        <is>
          <t>Software/tools/admin</t>
        </is>
      </c>
      <c r="B13">
        <f>'Assumptions'!C10</f>
        <v/>
      </c>
      <c r="C13">
        <f>'Assumptions'!C10</f>
        <v/>
      </c>
      <c r="D13">
        <f>'Assumptions'!C10</f>
        <v/>
      </c>
      <c r="E13">
        <f>'Assumptions'!C10</f>
        <v/>
      </c>
      <c r="F13">
        <f>'Assumptions'!C10</f>
        <v/>
      </c>
      <c r="G13">
        <f>'Assumptions'!C10</f>
        <v/>
      </c>
      <c r="H13">
        <f>'Assumptions'!C10</f>
        <v/>
      </c>
      <c r="I13">
        <f>'Assumptions'!C10</f>
        <v/>
      </c>
      <c r="J13">
        <f>'Assumptions'!C10</f>
        <v/>
      </c>
      <c r="K13">
        <f>'Assumptions'!C10</f>
        <v/>
      </c>
      <c r="L13">
        <f>'Assumptions'!C10</f>
        <v/>
      </c>
      <c r="M13">
        <f>'Assumptions'!C10</f>
        <v/>
      </c>
      <c r="N13">
        <f>SUM(B13:M13)</f>
        <v/>
      </c>
    </row>
    <row r="14">
      <c r="A14" t="inlineStr">
        <is>
          <t>Marketing/events</t>
        </is>
      </c>
      <c r="B14">
        <f>'Assumptions'!C11</f>
        <v/>
      </c>
      <c r="C14">
        <f>'Assumptions'!C11</f>
        <v/>
      </c>
      <c r="D14">
        <f>'Assumptions'!C11</f>
        <v/>
      </c>
      <c r="E14">
        <f>'Assumptions'!C11</f>
        <v/>
      </c>
      <c r="F14">
        <f>'Assumptions'!C11</f>
        <v/>
      </c>
      <c r="G14">
        <f>'Assumptions'!C11</f>
        <v/>
      </c>
      <c r="H14">
        <f>'Assumptions'!C11</f>
        <v/>
      </c>
      <c r="I14">
        <f>'Assumptions'!C11</f>
        <v/>
      </c>
      <c r="J14">
        <f>'Assumptions'!C11</f>
        <v/>
      </c>
      <c r="K14">
        <f>'Assumptions'!C11</f>
        <v/>
      </c>
      <c r="L14">
        <f>'Assumptions'!C11</f>
        <v/>
      </c>
      <c r="M14">
        <f>'Assumptions'!C11</f>
        <v/>
      </c>
      <c r="N14">
        <f>SUM(B14:M14)</f>
        <v/>
      </c>
    </row>
    <row r="15">
      <c r="A15" t="inlineStr">
        <is>
          <t>Total OPEX</t>
        </is>
      </c>
      <c r="B15" s="3">
        <f>SUM(B11:B14)</f>
        <v/>
      </c>
      <c r="C15" s="3">
        <f>SUM(C11:C14)</f>
        <v/>
      </c>
      <c r="D15" s="3">
        <f>SUM(D11:D14)</f>
        <v/>
      </c>
      <c r="E15" s="3">
        <f>SUM(E11:E14)</f>
        <v/>
      </c>
      <c r="F15" s="3">
        <f>SUM(F11:F14)</f>
        <v/>
      </c>
      <c r="G15" s="3">
        <f>SUM(G11:G14)</f>
        <v/>
      </c>
      <c r="H15" s="3">
        <f>SUM(H11:H14)</f>
        <v/>
      </c>
      <c r="I15" s="3">
        <f>SUM(I11:I14)</f>
        <v/>
      </c>
      <c r="J15" s="3">
        <f>SUM(J11:J14)</f>
        <v/>
      </c>
      <c r="K15" s="3">
        <f>SUM(K11:K14)</f>
        <v/>
      </c>
      <c r="L15" s="3">
        <f>SUM(L11:L14)</f>
        <v/>
      </c>
      <c r="M15" s="3">
        <f>SUM(M11:M14)</f>
        <v/>
      </c>
      <c r="N15" s="3">
        <f>SUM(B15:M15)</f>
        <v/>
      </c>
    </row>
    <row r="16">
      <c r="A16" t="inlineStr">
        <is>
          <t>EBITDA before CAPEX</t>
        </is>
      </c>
      <c r="B16">
        <f>B10-B15</f>
        <v/>
      </c>
      <c r="C16">
        <f>C10-C15</f>
        <v/>
      </c>
      <c r="D16">
        <f>D10-D15</f>
        <v/>
      </c>
      <c r="E16">
        <f>E10-E15</f>
        <v/>
      </c>
      <c r="F16">
        <f>F10-F15</f>
        <v/>
      </c>
      <c r="G16">
        <f>G10-G15</f>
        <v/>
      </c>
      <c r="H16">
        <f>H10-H15</f>
        <v/>
      </c>
      <c r="I16">
        <f>I10-I15</f>
        <v/>
      </c>
      <c r="J16">
        <f>J10-J15</f>
        <v/>
      </c>
      <c r="K16">
        <f>K10-K15</f>
        <v/>
      </c>
      <c r="L16">
        <f>L10-L15</f>
        <v/>
      </c>
      <c r="M16">
        <f>M10-M15</f>
        <v/>
      </c>
      <c r="N16">
        <f>SUM(B16:M16)</f>
        <v/>
      </c>
    </row>
    <row r="17">
      <c r="A17" t="inlineStr">
        <is>
          <t>CAPEX</t>
        </is>
      </c>
      <c r="B17" t="n">
        <v>11250</v>
      </c>
      <c r="C17" t="n">
        <v>11250</v>
      </c>
      <c r="D17" t="n">
        <v>11250</v>
      </c>
      <c r="E17" t="n">
        <v>11250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>
        <f>SUM(B17:M17)</f>
        <v/>
      </c>
    </row>
    <row r="18">
      <c r="A18" t="inlineStr">
        <is>
          <t>Net cash impact</t>
        </is>
      </c>
      <c r="B18" s="3">
        <f>B16-B17</f>
        <v/>
      </c>
      <c r="C18" s="3">
        <f>C16-C17</f>
        <v/>
      </c>
      <c r="D18" s="3">
        <f>D16-D17</f>
        <v/>
      </c>
      <c r="E18" s="3">
        <f>E16-E17</f>
        <v/>
      </c>
      <c r="F18" s="3">
        <f>F16-F17</f>
        <v/>
      </c>
      <c r="G18" s="3">
        <f>G16-G17</f>
        <v/>
      </c>
      <c r="H18" s="3">
        <f>H16-H17</f>
        <v/>
      </c>
      <c r="I18" s="3">
        <f>I16-I17</f>
        <v/>
      </c>
      <c r="J18" s="3">
        <f>J16-J17</f>
        <v/>
      </c>
      <c r="K18" s="3">
        <f>K16-K17</f>
        <v/>
      </c>
      <c r="L18" s="3">
        <f>L16-L17</f>
        <v/>
      </c>
      <c r="M18" s="3">
        <f>M16-M17</f>
        <v/>
      </c>
      <c r="N18" s="3">
        <f>SUM(B18:M18)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Formula / Comment</t>
        </is>
      </c>
    </row>
    <row r="2">
      <c r="A2" t="inlineStr">
        <is>
          <t>Hardware gross margin per unit</t>
        </is>
      </c>
      <c r="B2" s="4">
        <f>'Assumptions'!C2-'Assumptions'!C5</f>
        <v/>
      </c>
      <c r="C2" t="inlineStr">
        <is>
          <t>Hardware price minus hardware COGS</t>
        </is>
      </c>
    </row>
    <row r="3">
      <c r="A3" t="inlineStr">
        <is>
          <t>Monthly contribution per active user</t>
        </is>
      </c>
      <c r="B3">
        <f>'Assumptions'!C3-'Assumptions'!C6-'Assumptions'!C7</f>
        <v/>
      </c>
      <c r="C3" t="inlineStr">
        <is>
          <t>Software fee minus support and cloud</t>
        </is>
      </c>
    </row>
    <row r="4">
      <c r="A4" t="inlineStr">
        <is>
          <t>First-year customers</t>
        </is>
      </c>
      <c r="B4">
        <f>'Deployment Plan'!N2</f>
        <v/>
      </c>
      <c r="C4" t="inlineStr">
        <is>
          <t>New customers in year 1</t>
        </is>
      </c>
    </row>
    <row r="5">
      <c r="A5" t="inlineStr">
        <is>
          <t>First-year hardware units</t>
        </is>
      </c>
      <c r="B5">
        <f>'Deployment Plan'!N3</f>
        <v/>
      </c>
      <c r="C5" t="inlineStr">
        <is>
          <t>Total deployed pilot units</t>
        </is>
      </c>
    </row>
    <row r="6">
      <c r="A6" t="inlineStr">
        <is>
          <t>Year-end active users</t>
        </is>
      </c>
      <c r="B6">
        <f>MROUND('Deployment Plan'!M4,1)</f>
        <v/>
      </c>
      <c r="C6" t="inlineStr">
        <is>
          <t>Active users in month 12</t>
        </is>
      </c>
    </row>
    <row r="7">
      <c r="A7" t="inlineStr">
        <is>
          <t>Average onboarding revenue per customer</t>
        </is>
      </c>
      <c r="B7" s="3">
        <f>'Assumptions'!C4</f>
        <v/>
      </c>
      <c r="C7" t="inlineStr">
        <is>
          <t>One-time fee</t>
        </is>
      </c>
    </row>
    <row r="8">
      <c r="A8" t="inlineStr">
        <is>
          <t>Year 1 gross margin</t>
        </is>
      </c>
      <c r="B8" s="4">
        <f>'Monthly P&amp;L'!N10/'Monthly P&amp;L'!N5</f>
        <v/>
      </c>
      <c r="C8" t="inlineStr">
        <is>
          <t>Gross profit divided by total revenue</t>
        </is>
      </c>
    </row>
    <row r="9">
      <c r="A9" t="inlineStr">
        <is>
          <t>Year-end ARR</t>
        </is>
      </c>
      <c r="B9" s="3">
        <f>'Deployment Plan'!M4*'Assumptions'!C3*12</f>
        <v/>
      </c>
      <c r="C9" t="inlineStr">
        <is>
          <t>Annual recurring software revenue exiting year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Notes</t>
        </is>
      </c>
    </row>
    <row r="2">
      <c r="A2" t="inlineStr">
        <is>
          <t>Beachhead geography</t>
        </is>
      </c>
      <c r="B2" t="inlineStr">
        <is>
          <t>Western Canada industrial construction and turnaround sites</t>
        </is>
      </c>
      <c r="C2" t="inlineStr">
        <is>
          <t>Initial focus</t>
        </is>
      </c>
    </row>
    <row r="3">
      <c r="A3" t="inlineStr">
        <is>
          <t>Target organizations in beachhead</t>
        </is>
      </c>
      <c r="B3">
        <f>'Assumptions'!C17</f>
        <v/>
      </c>
      <c r="C3" t="inlineStr">
        <is>
          <t>Planning assumption to be validated</t>
        </is>
      </c>
    </row>
    <row r="4">
      <c r="A4" t="inlineStr">
        <is>
          <t>Average qualifying workers per target org</t>
        </is>
      </c>
      <c r="B4">
        <f>'Assumptions'!C18</f>
        <v/>
      </c>
      <c r="C4" t="inlineStr">
        <is>
          <t>Workers in high-risk dynamic environments</t>
        </is>
      </c>
    </row>
    <row r="5">
      <c r="A5" t="inlineStr">
        <is>
          <t>Total beachhead end users</t>
        </is>
      </c>
      <c r="B5">
        <f>B3*B4</f>
        <v/>
      </c>
      <c r="C5" t="inlineStr">
        <is>
          <t>Potential wearable users</t>
        </is>
      </c>
    </row>
    <row r="6">
      <c r="A6" t="inlineStr">
        <is>
          <t>Annual software revenue at 100% beachhead penetration</t>
        </is>
      </c>
      <c r="B6" s="3">
        <f>B5*'Assumptions'!C3*12</f>
        <v/>
      </c>
      <c r="C6" t="inlineStr">
        <is>
          <t>ARR only, excludes hardware</t>
        </is>
      </c>
    </row>
    <row r="7">
      <c r="A7" t="inlineStr">
        <is>
          <t>Illustrative Year 2 SOM penetration</t>
        </is>
      </c>
      <c r="B7" s="4">
        <f>'Assumptions'!C19</f>
        <v/>
      </c>
      <c r="C7" t="inlineStr">
        <is>
          <t>Base-case SOM assumption</t>
        </is>
      </c>
    </row>
    <row r="8">
      <c r="A8" t="inlineStr">
        <is>
          <t>Illustrative Year 2 active users</t>
        </is>
      </c>
      <c r="B8">
        <f>B5*B7</f>
        <v/>
      </c>
      <c r="C8" t="inlineStr">
        <is>
          <t>Users at Year 2 SOM</t>
        </is>
      </c>
    </row>
    <row r="9">
      <c r="A9" t="inlineStr">
        <is>
          <t>Illustrative Year 2 ARR</t>
        </is>
      </c>
      <c r="B9" s="3">
        <f>B8*'Assumptions'!C3*12</f>
        <v/>
      </c>
      <c r="C9" t="inlineStr">
        <is>
          <t>Software ARR at Year 2 SOM</t>
        </is>
      </c>
    </row>
    <row r="10">
      <c r="A10" t="inlineStr">
        <is>
          <t>Illustrative Year 3 SOM penetration</t>
        </is>
      </c>
      <c r="B10" s="4">
        <f>'Assumptions'!C20</f>
        <v/>
      </c>
      <c r="C10" t="inlineStr">
        <is>
          <t>Attainable share after validation</t>
        </is>
      </c>
    </row>
    <row r="11">
      <c r="A11" t="inlineStr">
        <is>
          <t>Illustrative Year 3 active users</t>
        </is>
      </c>
      <c r="B11">
        <f>B5*B10</f>
        <v/>
      </c>
      <c r="C11" t="inlineStr">
        <is>
          <t>Users at Year 3 SOM</t>
        </is>
      </c>
    </row>
    <row r="12">
      <c r="A12" t="inlineStr">
        <is>
          <t>Illustrative Year 3 ARR</t>
        </is>
      </c>
      <c r="B12" s="3">
        <f>B11*'Assumptions'!C3*12</f>
        <v/>
      </c>
      <c r="C12" t="inlineStr">
        <is>
          <t>Software ARR at Year 3 SOM</t>
        </is>
      </c>
    </row>
    <row r="13">
      <c r="A13" t="inlineStr">
        <is>
          <t>Global smart PPE market size, 2025 (USD M)</t>
        </is>
      </c>
      <c r="B13">
        <f>'Assumptions'!C13</f>
        <v/>
      </c>
      <c r="C13" t="inlineStr">
        <is>
          <t>Top-down market context</t>
        </is>
      </c>
    </row>
    <row r="14">
      <c r="A14" t="inlineStr">
        <is>
          <t>Global smart PPE market size, 2033 (USD M)</t>
        </is>
      </c>
      <c r="B14">
        <f>'Assumptions'!C14</f>
        <v/>
      </c>
      <c r="C14" t="inlineStr">
        <is>
          <t>Top-down market context</t>
        </is>
      </c>
    </row>
    <row r="15">
      <c r="A15" t="inlineStr">
        <is>
          <t>Global smart PPE market CAGR</t>
        </is>
      </c>
      <c r="B15" s="4">
        <f>(B14/B13)^(1/8)-1</f>
        <v/>
      </c>
      <c r="C15" t="inlineStr">
        <is>
          <t>2025 to 2033 CAGR</t>
        </is>
      </c>
    </row>
    <row r="16">
      <c r="A16" t="inlineStr">
        <is>
          <t>Global smart helmet market size, 2024 (USD M)</t>
        </is>
      </c>
      <c r="B16">
        <f>'Assumptions'!C15</f>
        <v/>
      </c>
      <c r="C16" t="inlineStr">
        <is>
          <t>Top-down market context</t>
        </is>
      </c>
    </row>
    <row r="17">
      <c r="A17" t="inlineStr">
        <is>
          <t>Global smart helmet market size, 2030 (USD M)</t>
        </is>
      </c>
      <c r="B17">
        <f>'Assumptions'!C16</f>
        <v/>
      </c>
      <c r="C17" t="inlineStr">
        <is>
          <t>Top-down market context</t>
        </is>
      </c>
    </row>
    <row r="18">
      <c r="A18" t="inlineStr">
        <is>
          <t>Global smart helmet market CAGR</t>
        </is>
      </c>
      <c r="B18" s="4">
        <f>(B17/B16)^(1/6)-1</f>
        <v/>
      </c>
      <c r="C18" t="inlineStr">
        <is>
          <t>2024 to 2030 CAGR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5" t="inlineStr">
        <is>
          <t>Metric</t>
        </is>
      </c>
      <c r="B1" s="5" t="inlineStr">
        <is>
          <t>Year 1</t>
        </is>
      </c>
      <c r="C1" s="5" t="inlineStr">
        <is>
          <t>Year 2</t>
        </is>
      </c>
      <c r="D1" s="5" t="inlineStr">
        <is>
          <t>Year 3</t>
        </is>
      </c>
    </row>
    <row r="2">
      <c r="A2" t="inlineStr">
        <is>
          <t>New customers</t>
        </is>
      </c>
      <c r="B2">
        <f>'Deployment Plan'!N2</f>
        <v/>
      </c>
      <c r="C2">
        <f>'Assumptions'!C21</f>
        <v/>
      </c>
      <c r="D2">
        <f>'Assumptions'!C22</f>
        <v/>
      </c>
    </row>
    <row r="3">
      <c r="A3" t="inlineStr">
        <is>
          <t>New hardware units</t>
        </is>
      </c>
      <c r="B3">
        <f>'Deployment Plan'!N3</f>
        <v/>
      </c>
      <c r="C3">
        <f>ROUND('Market Sizing'!B8-'Deployment Plan'!M4,0)</f>
        <v/>
      </c>
      <c r="D3">
        <f>ROUND('Market Sizing'!B11-'Market Sizing'!B8,0)</f>
        <v/>
      </c>
    </row>
    <row r="4">
      <c r="A4" t="inlineStr">
        <is>
          <t>Year-end active users</t>
        </is>
      </c>
      <c r="B4">
        <f>'Deployment Plan'!M4</f>
        <v/>
      </c>
      <c r="C4">
        <f>ROUND('Market Sizing'!B8,0)</f>
        <v/>
      </c>
      <c r="D4">
        <f>ROUND('Market Sizing'!B11,0)</f>
        <v/>
      </c>
    </row>
    <row r="5">
      <c r="A5" t="inlineStr">
        <is>
          <t>Average active users</t>
        </is>
      </c>
      <c r="B5">
        <f>'Deployment Plan'!N4/12</f>
        <v/>
      </c>
      <c r="C5">
        <f>(B4+C4)/2</f>
        <v/>
      </c>
      <c r="D5">
        <f>(C4+D4)/2</f>
        <v/>
      </c>
    </row>
    <row r="6">
      <c r="A6" t="inlineStr">
        <is>
          <t>Hardware revenue</t>
        </is>
      </c>
      <c r="B6" s="3">
        <f>'Monthly P&amp;L'!N2</f>
        <v/>
      </c>
      <c r="C6" s="3">
        <f>C2*'Assumptions'!C2</f>
        <v/>
      </c>
      <c r="D6" s="3">
        <f>D2*'Assumptions'!C2</f>
        <v/>
      </c>
    </row>
    <row r="7">
      <c r="A7" t="inlineStr">
        <is>
          <t>Software revenue</t>
        </is>
      </c>
      <c r="B7" s="3">
        <f>'Monthly P&amp;L'!N3</f>
        <v/>
      </c>
      <c r="C7" s="3">
        <f>C4*12*'Assumptions'!C3</f>
        <v/>
      </c>
      <c r="D7" s="3">
        <f>D4*12*'Assumptions'!C3</f>
        <v/>
      </c>
    </row>
    <row r="8">
      <c r="A8" t="inlineStr">
        <is>
          <t>Onboarding revenue</t>
        </is>
      </c>
      <c r="B8" s="3">
        <f>'Monthly P&amp;L'!N4</f>
        <v/>
      </c>
      <c r="C8" s="3">
        <f>C2*'Assumptions'!C4</f>
        <v/>
      </c>
      <c r="D8" s="3">
        <f>D2*'Assumptions'!C4</f>
        <v/>
      </c>
    </row>
    <row r="9">
      <c r="A9" t="inlineStr">
        <is>
          <t>Total revenue</t>
        </is>
      </c>
      <c r="B9" s="3">
        <f>'Monthly P&amp;L'!N5</f>
        <v/>
      </c>
      <c r="C9" s="3">
        <f>SUM(C6:C8)</f>
        <v/>
      </c>
      <c r="D9" s="3">
        <f>SUM(D6:D8)</f>
        <v/>
      </c>
    </row>
    <row r="10">
      <c r="A10" t="inlineStr">
        <is>
          <t>Total COGS</t>
        </is>
      </c>
      <c r="B10" s="3">
        <f>'Monthly P&amp;L'!N9</f>
        <v/>
      </c>
      <c r="C10" s="3">
        <f>(C2*'Assumptions'!C5)+(C4*12*('Assumptions'!C6+'Assumptions'!C7))</f>
        <v/>
      </c>
      <c r="D10" s="3">
        <f>(D2*'Assumptions'!C5)+(D4*12*('Assumptions'!C6+'Assumptions'!C7))</f>
        <v/>
      </c>
    </row>
    <row r="11">
      <c r="A11" t="inlineStr">
        <is>
          <t>Gross profit</t>
        </is>
      </c>
      <c r="B11" s="3">
        <f>'Monthly P&amp;L'!N10</f>
        <v/>
      </c>
      <c r="C11" s="3">
        <f>C9-C10</f>
        <v/>
      </c>
      <c r="D11" s="3">
        <f>D9-D10</f>
        <v/>
      </c>
    </row>
    <row r="12">
      <c r="A12" t="inlineStr">
        <is>
          <t>Gross margin</t>
        </is>
      </c>
      <c r="B12" s="4">
        <f>'Monthly P&amp;L'!N10/'Monthly P&amp;L'!N5</f>
        <v/>
      </c>
      <c r="C12" s="4">
        <f>C11/C9</f>
        <v/>
      </c>
      <c r="D12" s="4">
        <f>D11/D9</f>
        <v/>
      </c>
    </row>
    <row r="13">
      <c r="A13" t="inlineStr">
        <is>
          <t>OPEX</t>
        </is>
      </c>
      <c r="B13" s="3">
        <f>'Monthly P&amp;L'!N15</f>
        <v/>
      </c>
      <c r="C13" s="3">
        <f>B13*(1+'Assumptions'!C23)</f>
        <v/>
      </c>
      <c r="D13" s="3">
        <f>C13*(1+'Assumptions'!C24)</f>
        <v/>
      </c>
    </row>
    <row r="14">
      <c r="A14" t="inlineStr">
        <is>
          <t>EBITDA before CAPEX</t>
        </is>
      </c>
      <c r="B14">
        <f>'Monthly P&amp;L'!N16</f>
        <v/>
      </c>
      <c r="C14">
        <f>C11-C13</f>
        <v/>
      </c>
      <c r="D14">
        <f>D11-D13</f>
        <v/>
      </c>
    </row>
    <row r="15">
      <c r="A15" t="inlineStr">
        <is>
          <t>Revenue growth</t>
        </is>
      </c>
      <c r="B15" t="inlineStr"/>
      <c r="C15" s="3">
        <f>C9/B9-1</f>
        <v/>
      </c>
      <c r="D15" s="3">
        <f>D9/C9-1</f>
        <v/>
      </c>
    </row>
    <row r="16">
      <c r="A16" t="inlineStr">
        <is>
          <t>Year-end ARR</t>
        </is>
      </c>
      <c r="B16" s="3">
        <f>'Deployment Plan'!M4*'Assumptions'!C3*12</f>
        <v/>
      </c>
      <c r="C16" s="3">
        <f>C3*'Assumptions'!C3*12</f>
        <v/>
      </c>
      <c r="D16" s="3">
        <f>D3*'Assumptions'!C3*12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5" t="inlineStr">
        <is>
          <t>Year</t>
        </is>
      </c>
      <c r="B1" s="5" t="inlineStr">
        <is>
          <t>Milestones</t>
        </is>
      </c>
    </row>
    <row r="2">
      <c r="A2" t="inlineStr">
        <is>
          <t>Year 1</t>
        </is>
      </c>
      <c r="B2" t="inlineStr">
        <is>
          <t>Build MVP, secure 4 paid pilots, validate one or two hazard classes, collect field data</t>
        </is>
      </c>
    </row>
    <row r="3">
      <c r="A3" t="inlineStr">
        <is>
          <t>Year 2</t>
        </is>
      </c>
      <c r="B3" t="inlineStr">
        <is>
          <t>Convert pilots to annual contracts, improve product reliability, establish reference customers</t>
        </is>
      </c>
    </row>
    <row r="4">
      <c r="A4" t="inlineStr">
        <is>
          <t>Year 3</t>
        </is>
      </c>
      <c r="B4" t="inlineStr">
        <is>
          <t>Expand into mining or manufacturing, add channel partners, grow recurring software base</t>
        </is>
      </c>
    </row>
    <row r="5">
      <c r="A5" t="inlineStr">
        <is>
          <t>Years 4-5</t>
        </is>
      </c>
      <c r="B5" t="inlineStr">
        <is>
          <t>Broaden supported hazard library, integrate with enterprise safety workflows, win multi-site deployments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2026-03-23T20:21:50Z</dcterms:created>
  <dcterms:modified xmlns:dcterms="http://purl.org/dc/terms/" xmlns:xsi="http://www.w3.org/2001/XMLSchema-instance" xsi:type="dcterms:W3CDTF">2026-03-23T20:21:50Z</dcterms:modified>
</cp:coreProperties>
</file>